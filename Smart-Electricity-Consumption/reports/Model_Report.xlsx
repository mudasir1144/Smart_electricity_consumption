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Intern project\Smart-Electricity-Consumption\reports\"/>
    </mc:Choice>
  </mc:AlternateContent>
  <bookViews>
    <workbookView xWindow="0" yWindow="0" windowWidth="14380" windowHeight="4640"/>
  </bookViews>
  <sheets>
    <sheet name="Cover" sheetId="1" r:id="rId1"/>
    <sheet name="Model Comparison" sheetId="2" r:id="rId2"/>
    <sheet name="Evaluation Comparison" sheetId="3" r:id="rId3"/>
    <sheet name="Feature Importance" sheetId="4" r:id="rId4"/>
    <sheet name="Prediction Resul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5" l="1"/>
  <c r="G24" i="5"/>
  <c r="G25" i="5"/>
  <c r="F23" i="5"/>
  <c r="G23" i="5" s="1"/>
  <c r="F24" i="5"/>
  <c r="F25" i="5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5" i="5"/>
  <c r="G5" i="5" s="1"/>
  <c r="L6" i="5" l="1"/>
  <c r="L7" i="5"/>
  <c r="L5" i="5"/>
</calcChain>
</file>

<file path=xl/sharedStrings.xml><?xml version="1.0" encoding="utf-8"?>
<sst xmlns="http://schemas.openxmlformats.org/spreadsheetml/2006/main" count="121" uniqueCount="107">
  <si>
    <t>Smart Electricity Consumption Prediction &amp; Energy Optimization System</t>
  </si>
  <si>
    <t>Machine learning Model Performance Report</t>
  </si>
  <si>
    <t xml:space="preserve">Task ID : </t>
  </si>
  <si>
    <t>ML-03</t>
  </si>
  <si>
    <t xml:space="preserve">Domain: </t>
  </si>
  <si>
    <t>Machine Learning</t>
  </si>
  <si>
    <t xml:space="preserve">Programming Language: </t>
  </si>
  <si>
    <t>Python</t>
  </si>
  <si>
    <t xml:space="preserve">Library Used: </t>
  </si>
  <si>
    <t>Pandas , Numpy , Scikit-Learn, Streamlit</t>
  </si>
  <si>
    <t xml:space="preserve">Dataset Record : </t>
  </si>
  <si>
    <t>Total Features</t>
  </si>
  <si>
    <t xml:space="preserve">Target Variable: </t>
  </si>
  <si>
    <t>Daily Electricity Consumption</t>
  </si>
  <si>
    <t xml:space="preserve">Best Model: </t>
  </si>
  <si>
    <t>Machine learning model comparsion</t>
  </si>
  <si>
    <t xml:space="preserve">Model </t>
  </si>
  <si>
    <t>MAE</t>
  </si>
  <si>
    <t>MSE</t>
  </si>
  <si>
    <t>RMSE</t>
  </si>
  <si>
    <t xml:space="preserve">R2 Score </t>
  </si>
  <si>
    <t>Rank</t>
  </si>
  <si>
    <t>Linear Regression</t>
  </si>
  <si>
    <t>Random Forest</t>
  </si>
  <si>
    <t>Decision Tree</t>
  </si>
  <si>
    <t>1. Linear Regression achived the lowest prediction error among all evaluated models</t>
  </si>
  <si>
    <t>2. Random Forest produced highly accurate prediction but was slightly less acurate than  Linear Regression</t>
  </si>
  <si>
    <t>3. Decision Tree showed comparitively higher prediction error due to overfitting characteristics</t>
  </si>
  <si>
    <t>4. Based on all regression metrics , Linear regression was selected as the final production model.</t>
  </si>
  <si>
    <t>Summary Box</t>
  </si>
  <si>
    <t xml:space="preserve">Item </t>
  </si>
  <si>
    <t>Value</t>
  </si>
  <si>
    <t>Selected Models</t>
  </si>
  <si>
    <t>Final R2 Score</t>
  </si>
  <si>
    <t xml:space="preserve">Production Ready </t>
  </si>
  <si>
    <t>Yes</t>
  </si>
  <si>
    <t>Performance Interpretation</t>
  </si>
  <si>
    <t>Regression Model Evaluation Metrics</t>
  </si>
  <si>
    <t xml:space="preserve">Metrics </t>
  </si>
  <si>
    <t xml:space="preserve">Linear Regression </t>
  </si>
  <si>
    <t>R2 Score</t>
  </si>
  <si>
    <t>Explanation of Evaluation Metrics</t>
  </si>
  <si>
    <t xml:space="preserve">Mean Absolute Error: </t>
  </si>
  <si>
    <t>Mean Squared Error:</t>
  </si>
  <si>
    <t>Root Mean Squared Error:</t>
  </si>
  <si>
    <t>Cofficient of determination:</t>
  </si>
  <si>
    <t xml:space="preserve">MAE measure the average absolute difference between      
the predicted and actual electricity consumption value.     
A lower MAE indicates higher prediction accuracy because     
the model makes fewer error on average     
</t>
  </si>
  <si>
    <t xml:space="preserve">MSE calculates the average of the squared prediction    
errors. Squaring the error gives more weight to large    
mistakes, making MSE useful for identitfiyng models     
that occasionally make significant prediction error.    
</t>
  </si>
  <si>
    <t xml:space="preserve">RMSE is the square root of MSE and represent     
prediction error in the same unit as electricity     
consumption (kWh). Lower RMSE values indicates    
better model performance.    
</t>
  </si>
  <si>
    <r>
      <rPr>
        <sz val="10"/>
        <color theme="1"/>
        <rFont val="Times New Roman"/>
        <family val="1"/>
      </rPr>
      <t xml:space="preserve">Thr r2 score measure how will the independent     
variable explain the variation in electricity consumption    
Value closer to 1 indicate excellent predictive     
performance   </t>
    </r>
    <r>
      <rPr>
        <sz val="11"/>
        <color theme="1"/>
        <rFont val="Times New Roman"/>
        <family val="1"/>
      </rPr>
      <t xml:space="preserve"> 
</t>
    </r>
  </si>
  <si>
    <t>Based on the comparative evaluation , all machine learning algorithm , Linear regression demonstrated</t>
  </si>
  <si>
    <t>the high predicted accuracy with the lowest error values and R2 score of 0.99. Therefore it was selected</t>
  </si>
  <si>
    <t xml:space="preserve">as the final production model and integrated into the streamlit based smart electricity consumption </t>
  </si>
  <si>
    <t>prediction system</t>
  </si>
  <si>
    <r>
      <rPr>
        <b/>
        <sz val="11"/>
        <color theme="1"/>
        <rFont val="Times New Roman"/>
        <family val="1"/>
      </rPr>
      <t>Conlusion:</t>
    </r>
    <r>
      <rPr>
        <sz val="11"/>
        <color theme="1"/>
        <rFont val="Times New Roman"/>
        <family val="1"/>
      </rPr>
      <t xml:space="preserve"> </t>
    </r>
  </si>
  <si>
    <t>Feature Importance Analysis</t>
  </si>
  <si>
    <t xml:space="preserve">Feature </t>
  </si>
  <si>
    <t>Coefficient</t>
  </si>
  <si>
    <t xml:space="preserve">Impact </t>
  </si>
  <si>
    <t>Interpretation</t>
  </si>
  <si>
    <t>AC_Hours</t>
  </si>
  <si>
    <t>Outdoor_Temperature</t>
  </si>
  <si>
    <t>Solar_Panels</t>
  </si>
  <si>
    <t>Water_Motor_Hours</t>
  </si>
  <si>
    <t>Fan_Hours</t>
  </si>
  <si>
    <t>Family_Members</t>
  </si>
  <si>
    <t>Washing_Machine_Hours</t>
  </si>
  <si>
    <t>Lighting_Hours</t>
  </si>
  <si>
    <t xml:space="preserve">Postive </t>
  </si>
  <si>
    <t>Negative</t>
  </si>
  <si>
    <t>Higher AC usage increase electricity consumption</t>
  </si>
  <si>
    <t>Hotter weather increase cooling demand</t>
  </si>
  <si>
    <t>Solar panels reduce electricity drawn from the grid</t>
  </si>
  <si>
    <t>Longer motor operation increases electricity uses.</t>
  </si>
  <si>
    <t>Longer fan usage increase electricity usage</t>
  </si>
  <si>
    <t>Larger families consume more electricity</t>
  </si>
  <si>
    <t>Frequent washing contribute to energy consumption</t>
  </si>
  <si>
    <t>More lights hours increase consumption</t>
  </si>
  <si>
    <t>Business Interpretation</t>
  </si>
  <si>
    <t>Point 1:</t>
  </si>
  <si>
    <t>Air conditioner usage is the stronger contributor to household electricity consumption</t>
  </si>
  <si>
    <t>Point 2:</t>
  </si>
  <si>
    <t>Outdoor temprature significantly affects cooling appliance usage during summer.</t>
  </si>
  <si>
    <t xml:space="preserve">Point 3: </t>
  </si>
  <si>
    <t>House hold with more family members generally consume more electricity.</t>
  </si>
  <si>
    <t xml:space="preserve">Point 4: </t>
  </si>
  <si>
    <t>Solar panels installation decreases dependency on grid electricity and lower bills</t>
  </si>
  <si>
    <t>Efficient appliances scheduling can significantly reduce peak electricity demands.</t>
  </si>
  <si>
    <t xml:space="preserve">Point 5: </t>
  </si>
  <si>
    <t>Actual vs Predicted Electricity Consumption</t>
  </si>
  <si>
    <t>Actual Consumption</t>
  </si>
  <si>
    <t>Predicted Consumption</t>
  </si>
  <si>
    <t xml:space="preserve">Error </t>
  </si>
  <si>
    <t>Accuracy</t>
  </si>
  <si>
    <t>Average Prediction Error</t>
  </si>
  <si>
    <t>Maximum Prediction Error</t>
  </si>
  <si>
    <t>Minimum Prediction Error</t>
  </si>
  <si>
    <t xml:space="preserve">Number of Test Sample </t>
  </si>
  <si>
    <t>Scatter plot Graph</t>
  </si>
  <si>
    <t>Prediction Analysis:</t>
  </si>
  <si>
    <t>The comparison between actual and predicted electricity consumption</t>
  </si>
  <si>
    <t>values demonstrate that the selected linear regression model produces</t>
  </si>
  <si>
    <t>highly accurate prediction. The prediction errors remains consistently</t>
  </si>
  <si>
    <t>low , and the close agreement between actual and predicted values confirms</t>
  </si>
  <si>
    <t>the reliability of the model of household electricity consumption forecasting.</t>
  </si>
  <si>
    <t xml:space="preserve">These results validate the suitability of the model for deploymemt with the 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</si>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</sst>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0"/>
      <name val="Times New Roman"/>
      <family val="1"/>
    </font>
    <font>
      <sz val="14"/>
      <color theme="0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4"/>
      <color theme="0"/>
      <name val="Calibri"/>
      <family val="2"/>
      <scheme val="minor"/>
    </font>
    <font>
      <sz val="10"/>
      <color theme="1"/>
      <name val="Times New Roman"/>
      <family val="1"/>
    </font>
    <font>
      <sz val="7"/>
      <color theme="1"/>
      <name val="Segoe UI"/>
      <family val="2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7"/>
      <name val="Segoe UI"/>
      <family val="2"/>
    </font>
    <font>
      <sz val="7"/>
      <name val="Segoe UI"/>
      <family val="2"/>
    </font>
    <font>
      <sz val="7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4" fillId="0" borderId="0" xfId="0" applyFont="1"/>
    <xf numFmtId="0" fontId="4" fillId="0" borderId="0" xfId="0" applyFont="1" applyAlignment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17" xfId="0" applyFont="1" applyFill="1" applyBorder="1"/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11" fillId="4" borderId="1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3" fillId="3" borderId="18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0" xfId="0" applyFont="1" applyBorder="1"/>
    <xf numFmtId="0" fontId="3" fillId="0" borderId="18" xfId="0" applyFont="1" applyBorder="1"/>
    <xf numFmtId="0" fontId="3" fillId="0" borderId="21" xfId="0" applyFont="1" applyBorder="1"/>
    <xf numFmtId="0" fontId="3" fillId="0" borderId="23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Border="1" applyAlignment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Border="1"/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3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3" fillId="6" borderId="9" xfId="0" applyFont="1" applyFill="1" applyBorder="1"/>
    <xf numFmtId="0" fontId="3" fillId="6" borderId="0" xfId="0" applyFont="1" applyFill="1" applyBorder="1" applyAlignment="1">
      <alignment vertical="center"/>
    </xf>
    <xf numFmtId="0" fontId="3" fillId="6" borderId="0" xfId="0" applyFont="1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6" borderId="12" xfId="0" applyFont="1" applyFill="1" applyBorder="1"/>
    <xf numFmtId="0" fontId="3" fillId="6" borderId="13" xfId="0" applyFont="1" applyFill="1" applyBorder="1"/>
    <xf numFmtId="0" fontId="16" fillId="0" borderId="0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5" xfId="0" applyFont="1" applyBorder="1" applyAlignment="1"/>
    <xf numFmtId="0" fontId="3" fillId="0" borderId="3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2" xfId="0" applyFont="1" applyBorder="1" applyAlignment="1"/>
    <xf numFmtId="0" fontId="6" fillId="5" borderId="0" xfId="0" applyFont="1" applyFill="1" applyAlignment="1"/>
    <xf numFmtId="0" fontId="6" fillId="2" borderId="0" xfId="0" applyFont="1" applyFill="1" applyAlignment="1">
      <alignment horizontal="center"/>
    </xf>
    <xf numFmtId="0" fontId="9" fillId="0" borderId="6" xfId="0" applyFont="1" applyBorder="1"/>
    <xf numFmtId="0" fontId="8" fillId="0" borderId="7" xfId="0" applyFont="1" applyBorder="1"/>
    <xf numFmtId="0" fontId="9" fillId="0" borderId="9" xfId="0" applyFont="1" applyBorder="1"/>
    <xf numFmtId="0" fontId="8" fillId="0" borderId="0" xfId="0" applyFont="1" applyBorder="1"/>
    <xf numFmtId="0" fontId="9" fillId="0" borderId="11" xfId="0" applyFont="1" applyBorder="1"/>
    <xf numFmtId="0" fontId="8" fillId="0" borderId="12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3" xfId="0" applyFont="1" applyBorder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2" borderId="33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8" fillId="5" borderId="0" xfId="0" applyFont="1" applyFill="1" applyAlignment="1"/>
    <xf numFmtId="0" fontId="22" fillId="0" borderId="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3" fillId="0" borderId="1" xfId="0" applyFont="1" applyBorder="1" applyAlignment="1">
      <alignment horizontal="left" vertical="center" wrapText="1"/>
    </xf>
    <xf numFmtId="0" fontId="13" fillId="8" borderId="15" xfId="0" applyFont="1" applyFill="1" applyBorder="1" applyAlignment="1">
      <alignment horizontal="left" vertical="center"/>
    </xf>
    <xf numFmtId="0" fontId="13" fillId="8" borderId="26" xfId="0" applyFont="1" applyFill="1" applyBorder="1" applyAlignment="1">
      <alignment horizontal="left" vertical="center"/>
    </xf>
    <xf numFmtId="0" fontId="13" fillId="8" borderId="14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1" fillId="7" borderId="6" xfId="0" applyFont="1" applyFill="1" applyBorder="1"/>
    <xf numFmtId="0" fontId="11" fillId="7" borderId="7" xfId="0" applyFont="1" applyFill="1" applyBorder="1"/>
    <xf numFmtId="0" fontId="3" fillId="7" borderId="7" xfId="0" applyFont="1" applyFill="1" applyBorder="1"/>
    <xf numFmtId="0" fontId="21" fillId="7" borderId="7" xfId="0" applyFont="1" applyFill="1" applyBorder="1" applyAlignment="1">
      <alignment horizontal="right" vertical="center" wrapText="1"/>
    </xf>
    <xf numFmtId="0" fontId="3" fillId="7" borderId="8" xfId="0" applyFont="1" applyFill="1" applyBorder="1"/>
    <xf numFmtId="0" fontId="3" fillId="7" borderId="9" xfId="0" applyFont="1" applyFill="1" applyBorder="1"/>
    <xf numFmtId="0" fontId="3" fillId="7" borderId="0" xfId="0" applyFont="1" applyFill="1" applyBorder="1"/>
    <xf numFmtId="0" fontId="21" fillId="7" borderId="0" xfId="0" applyFont="1" applyFill="1" applyBorder="1" applyAlignment="1">
      <alignment horizontal="right" vertical="center" wrapText="1"/>
    </xf>
    <xf numFmtId="0" fontId="3" fillId="7" borderId="10" xfId="0" applyFont="1" applyFill="1" applyBorder="1"/>
    <xf numFmtId="0" fontId="3" fillId="7" borderId="11" xfId="0" applyFont="1" applyFill="1" applyBorder="1"/>
    <xf numFmtId="0" fontId="3" fillId="7" borderId="12" xfId="0" applyFont="1" applyFill="1" applyBorder="1"/>
    <xf numFmtId="0" fontId="21" fillId="7" borderId="12" xfId="0" applyFont="1" applyFill="1" applyBorder="1" applyAlignment="1">
      <alignment horizontal="right" vertical="center" wrapText="1"/>
    </xf>
    <xf numFmtId="0" fontId="3" fillId="7" borderId="13" xfId="0" applyFont="1" applyFill="1" applyBorder="1"/>
    <xf numFmtId="0" fontId="17" fillId="8" borderId="30" xfId="0" applyFont="1" applyFill="1" applyBorder="1" applyAlignment="1">
      <alignment horizontal="center"/>
    </xf>
    <xf numFmtId="0" fontId="17" fillId="8" borderId="31" xfId="0" applyFont="1" applyFill="1" applyBorder="1" applyAlignment="1">
      <alignment horizontal="center"/>
    </xf>
    <xf numFmtId="0" fontId="17" fillId="8" borderId="32" xfId="0" applyFont="1" applyFill="1" applyBorder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bottom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Feature</a:t>
            </a:r>
            <a:r>
              <a:rPr lang="en-US" baseline="0"/>
              <a:t> Importance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'Feature Importance'!$B$4:$B$11</c:f>
              <c:strCache>
                <c:ptCount val="8"/>
                <c:pt idx="0">
                  <c:v>AC_Hours</c:v>
                </c:pt>
                <c:pt idx="1">
                  <c:v>Outdoor_Temperature</c:v>
                </c:pt>
                <c:pt idx="2">
                  <c:v>Solar_Panels</c:v>
                </c:pt>
                <c:pt idx="3">
                  <c:v>Water_Motor_Hours</c:v>
                </c:pt>
                <c:pt idx="4">
                  <c:v>Fan_Hours</c:v>
                </c:pt>
                <c:pt idx="5">
                  <c:v>Family_Members</c:v>
                </c:pt>
                <c:pt idx="6">
                  <c:v>Washing_Machine_Hours</c:v>
                </c:pt>
                <c:pt idx="7">
                  <c:v>Lighting_Hours</c:v>
                </c:pt>
              </c:strCache>
            </c:strRef>
          </c:cat>
          <c:val>
            <c:numRef>
              <c:f>'Feature Importance'!$C$4:$C$11</c:f>
              <c:numCache>
                <c:formatCode>General</c:formatCode>
                <c:ptCount val="8"/>
                <c:pt idx="0">
                  <c:v>6.9026300000000003</c:v>
                </c:pt>
                <c:pt idx="1">
                  <c:v>0.75389499999999998</c:v>
                </c:pt>
                <c:pt idx="2">
                  <c:v>-0.74954500000000002</c:v>
                </c:pt>
                <c:pt idx="3">
                  <c:v>0.57217499999999999</c:v>
                </c:pt>
                <c:pt idx="4">
                  <c:v>0.52541700000000002</c:v>
                </c:pt>
                <c:pt idx="5">
                  <c:v>0.51765799999999995</c:v>
                </c:pt>
                <c:pt idx="6">
                  <c:v>0.277507</c:v>
                </c:pt>
                <c:pt idx="7">
                  <c:v>0.18376600000000001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2-4829-869B-9DDABCB4B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370095"/>
        <c:axId val="1676380495"/>
      </c:barChart>
      <c:catAx>
        <c:axId val="167637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80495"/>
        <c:crosses val="autoZero"/>
        <c:auto val="1"/>
        <c:lblAlgn val="ctr"/>
        <c:lblOffset val="100"/>
        <c:noMultiLvlLbl val="0"/>
      </c:catAx>
      <c:valAx>
        <c:axId val="167638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7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692038495188118E-2"/>
          <c:y val="6.4814814814814811E-2"/>
          <c:w val="0.8870441819772528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Results'!$D$5:$E$5</c:f>
              <c:numCache>
                <c:formatCode>General</c:formatCode>
                <c:ptCount val="2"/>
                <c:pt idx="0">
                  <c:v>10.37</c:v>
                </c:pt>
                <c:pt idx="1">
                  <c:v>9.8644739999999995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2-4996-8B83-5A60E6EF36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Results'!$D$6:$E$6</c:f>
              <c:numCache>
                <c:formatCode>General</c:formatCode>
                <c:ptCount val="2"/>
                <c:pt idx="0">
                  <c:v>15.58</c:v>
                </c:pt>
                <c:pt idx="1">
                  <c:v>14.987158000000001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2-4996-8B83-5A60E6EF362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Results'!$D$7:$E$7</c:f>
              <c:numCache>
                <c:formatCode>General</c:formatCode>
                <c:ptCount val="2"/>
                <c:pt idx="0">
                  <c:v>13.27</c:v>
                </c:pt>
                <c:pt idx="1">
                  <c:v>12.714772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42-4996-8B83-5A60E6EF3628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Results'!$D$8:$E$8</c:f>
              <c:numCache>
                <c:formatCode>General</c:formatCode>
                <c:ptCount val="2"/>
                <c:pt idx="0">
                  <c:v>37.200000000000003</c:v>
                </c:pt>
                <c:pt idx="1">
                  <c:v>36.801886000000003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42-4996-8B83-5A60E6EF3628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Results'!$D$9:$E$9</c:f>
              <c:numCache>
                <c:formatCode>General</c:formatCode>
                <c:ptCount val="2"/>
                <c:pt idx="0">
                  <c:v>34.56</c:v>
                </c:pt>
                <c:pt idx="1">
                  <c:v>34.251727000000002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42-4996-8B83-5A60E6EF3628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Results'!$D$10:$E$10</c:f>
              <c:numCache>
                <c:formatCode>General</c:formatCode>
                <c:ptCount val="2"/>
                <c:pt idx="0">
                  <c:v>31.94</c:v>
                </c:pt>
                <c:pt idx="1">
                  <c:v>32.358612999999998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42-4996-8B83-5A60E6EF3628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Results'!$D$11:$E$11</c:f>
              <c:numCache>
                <c:formatCode>General</c:formatCode>
                <c:ptCount val="2"/>
                <c:pt idx="0">
                  <c:v>32.93</c:v>
                </c:pt>
                <c:pt idx="1">
                  <c:v>32.236361000000002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42-4996-8B83-5A60E6EF3628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Results'!$D$12:$E$12</c:f>
              <c:numCache>
                <c:formatCode>General</c:formatCode>
                <c:ptCount val="2"/>
                <c:pt idx="0">
                  <c:v>8.11</c:v>
                </c:pt>
                <c:pt idx="1">
                  <c:v>7.8971410000000004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42-4996-8B83-5A60E6EF3628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Results'!$D$13:$E$13</c:f>
              <c:numCache>
                <c:formatCode>General</c:formatCode>
                <c:ptCount val="2"/>
                <c:pt idx="0">
                  <c:v>10.23</c:v>
                </c:pt>
                <c:pt idx="1">
                  <c:v>10.589397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42-4996-8B83-5A60E6EF3628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Results'!$D$14:$E$14</c:f>
              <c:numCache>
                <c:formatCode>General</c:formatCode>
                <c:ptCount val="2"/>
                <c:pt idx="0">
                  <c:v>13.86</c:v>
                </c:pt>
                <c:pt idx="1">
                  <c:v>14.834816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42-4996-8B83-5A60E6EF3628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Results'!$D$15:$E$15</c:f>
              <c:numCache>
                <c:formatCode>General</c:formatCode>
                <c:ptCount val="2"/>
                <c:pt idx="0">
                  <c:v>10.93</c:v>
                </c:pt>
                <c:pt idx="1">
                  <c:v>11.676294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42-4996-8B83-5A60E6EF3628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Results'!$D$16:$E$16</c:f>
              <c:numCache>
                <c:formatCode>General</c:formatCode>
                <c:ptCount val="2"/>
                <c:pt idx="0">
                  <c:v>16.84</c:v>
                </c:pt>
                <c:pt idx="1">
                  <c:v>16.500990000000002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42-4996-8B83-5A60E6EF3628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Results'!$D$17:$E$17</c:f>
              <c:numCache>
                <c:formatCode>General</c:formatCode>
                <c:ptCount val="2"/>
                <c:pt idx="0">
                  <c:v>21.67</c:v>
                </c:pt>
                <c:pt idx="1">
                  <c:v>22.639219000000001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42-4996-8B83-5A60E6EF3628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Results'!$D$18:$E$18</c:f>
              <c:numCache>
                <c:formatCode>General</c:formatCode>
                <c:ptCount val="2"/>
                <c:pt idx="0">
                  <c:v>26.52</c:v>
                </c:pt>
                <c:pt idx="1">
                  <c:v>25.141093000000001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42-4996-8B83-5A60E6EF3628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Results'!$D$19:$E$19</c:f>
              <c:numCache>
                <c:formatCode>General</c:formatCode>
                <c:ptCount val="2"/>
                <c:pt idx="0">
                  <c:v>24.45</c:v>
                </c:pt>
                <c:pt idx="1">
                  <c:v>24.294233999999999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42-4996-8B83-5A60E6EF3628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Results'!$D$20:$E$20</c:f>
              <c:numCache>
                <c:formatCode>General</c:formatCode>
                <c:ptCount val="2"/>
                <c:pt idx="0">
                  <c:v>18.440000000000001</c:v>
                </c:pt>
                <c:pt idx="1">
                  <c:v>18.466342000000001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42-4996-8B83-5A60E6EF3628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Results'!$D$21:$E$21</c:f>
              <c:numCache>
                <c:formatCode>General</c:formatCode>
                <c:ptCount val="2"/>
                <c:pt idx="0">
                  <c:v>16.420000000000002</c:v>
                </c:pt>
                <c:pt idx="1">
                  <c:v>17.776176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42-4996-8B83-5A60E6EF3628}"/>
            </c:ext>
          </c:extLst>
        </c:ser>
        <c:ser>
          <c:idx val="17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Results'!$D$22:$E$22</c:f>
              <c:numCache>
                <c:formatCode>General</c:formatCode>
                <c:ptCount val="2"/>
                <c:pt idx="0">
                  <c:v>12.54</c:v>
                </c:pt>
                <c:pt idx="1">
                  <c:v>13.28998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442-4996-8B83-5A60E6EF3628}"/>
            </c:ext>
          </c:extLst>
        </c:ser>
        <c:ser>
          <c:idx val="18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Results'!$D$23:$E$23</c:f>
              <c:numCache>
                <c:formatCode>General</c:formatCode>
                <c:ptCount val="2"/>
                <c:pt idx="0">
                  <c:v>22.21</c:v>
                </c:pt>
                <c:pt idx="1">
                  <c:v>21.245830999999999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442-4996-8B83-5A60E6EF3628}"/>
            </c:ext>
          </c:extLst>
        </c:ser>
        <c:ser>
          <c:idx val="19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Results'!$D$24:$E$24</c:f>
              <c:numCache>
                <c:formatCode>General</c:formatCode>
                <c:ptCount val="2"/>
                <c:pt idx="0">
                  <c:v>34.119999999999997</c:v>
                </c:pt>
                <c:pt idx="1">
                  <c:v>33.740817999999997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442-4996-8B83-5A60E6EF3628}"/>
            </c:ext>
          </c:extLst>
        </c:ser>
        <c:ser>
          <c:idx val="20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'Prediction Results'!$D$4:$E$4</c:f>
              <c:strCache>
                <c:ptCount val="2"/>
                <c:pt idx="0">
                  <c:v>Actual Consumption</c:v>
                </c:pt>
                <c:pt idx="1">
                  <c:v>Predicted Consumption</c:v>
                </c:pt>
              </c:strCache>
            </c:strRef>
          </c:xVal>
          <c:yVal>
            <c:numRef>
              <c:f>'Prediction Results'!$D$25:$E$25</c:f>
              <c:numCache>
                <c:formatCode>General</c:formatCode>
                <c:ptCount val="2"/>
                <c:pt idx="0">
                  <c:v>15.85</c:v>
                </c:pt>
                <c:pt idx="1">
                  <c:v>16.069434999999999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442-4996-8B83-5A60E6EF3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354799"/>
        <c:axId val="1773350639"/>
      </c:scatterChart>
      <c:valAx>
        <c:axId val="177335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50639"/>
        <c:crosses val="autoZero"/>
        <c:crossBetween val="midCat"/>
      </c:valAx>
      <c:valAx>
        <c:axId val="17733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5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2</xdr:row>
      <xdr:rowOff>0</xdr:rowOff>
    </xdr:from>
    <xdr:to>
      <xdr:col>11</xdr:col>
      <xdr:colOff>546100</xdr:colOff>
      <xdr:row>15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28</xdr:row>
      <xdr:rowOff>6350</xdr:rowOff>
    </xdr:from>
    <xdr:to>
      <xdr:col>6</xdr:col>
      <xdr:colOff>819150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C5:H8" totalsRowShown="0" headerRowDxfId="17" dataDxfId="27" headerRowBorderDxfId="25" tableBorderDxfId="26" totalsRowBorderDxfId="24">
  <tableColumns count="6">
    <tableColumn id="1" name="Model " dataDxfId="23"/>
    <tableColumn id="2" name="MAE" dataDxfId="22"/>
    <tableColumn id="3" name="MSE" dataDxfId="21"/>
    <tableColumn id="4" name="RMSE" dataDxfId="20"/>
    <tableColumn id="5" name="R2 Score " dataDxfId="19"/>
    <tableColumn id="6" name="Rank" dataDxfId="1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3:E11" totalsRowShown="0" headerRowDxfId="8" dataDxfId="16" headerRowBorderDxfId="14" tableBorderDxfId="15" totalsRowBorderDxfId="13">
  <tableColumns count="4">
    <tableColumn id="1" name="Feature " dataDxfId="12"/>
    <tableColumn id="2" name="Coefficient" dataDxfId="11"/>
    <tableColumn id="3" name="Impact " dataDxfId="10"/>
    <tableColumn id="4" name="Interpretation" dataDxfId="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D4:G25" totalsRowShown="0" headerRowDxfId="0" headerRowBorderDxfId="6" tableBorderDxfId="7" totalsRowBorderDxfId="5">
  <tableColumns count="4">
    <tableColumn id="1" name="Actual Consumption" dataDxfId="4"/>
    <tableColumn id="2" name="Predicted Consumption" dataDxfId="3"/>
    <tableColumn id="3" name="Error " dataDxfId="2">
      <calculatedColumnFormula>ABS(D5-E5)</calculatedColumnFormula>
    </tableColumn>
    <tableColumn id="4" name="Accuracy" dataDxfId="1">
      <calculatedColumnFormula>100-(F5/D5*100)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17"/>
  <sheetViews>
    <sheetView tabSelected="1" zoomScale="84" workbookViewId="0">
      <selection activeCell="E8" sqref="E8"/>
    </sheetView>
  </sheetViews>
  <sheetFormatPr defaultRowHeight="23" x14ac:dyDescent="0.5"/>
  <cols>
    <col min="1" max="16384" width="8.7265625" style="1"/>
  </cols>
  <sheetData>
    <row r="3" spans="3:25" s="6" customFormat="1" x14ac:dyDescent="0.35">
      <c r="C3" s="149" t="s">
        <v>0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5" spans="3:25" x14ac:dyDescent="0.5">
      <c r="C5" s="150" t="s">
        <v>1</v>
      </c>
      <c r="D5" s="5"/>
      <c r="E5" s="5"/>
      <c r="F5" s="5"/>
      <c r="G5" s="5"/>
      <c r="H5" s="5"/>
      <c r="I5" s="5"/>
      <c r="J5" s="5"/>
      <c r="K5" s="5"/>
      <c r="L5" s="5"/>
      <c r="M5" s="5"/>
    </row>
    <row r="6" spans="3:25" ht="23.5" thickBot="1" x14ac:dyDescent="0.55000000000000004"/>
    <row r="7" spans="3:25" x14ac:dyDescent="0.5">
      <c r="C7" s="140" t="s">
        <v>2</v>
      </c>
      <c r="D7" s="141"/>
      <c r="E7" s="141" t="s">
        <v>3</v>
      </c>
      <c r="F7" s="141"/>
      <c r="G7" s="141"/>
      <c r="H7" s="141"/>
      <c r="I7" s="141"/>
      <c r="J7" s="141"/>
      <c r="K7" s="141"/>
      <c r="L7" s="146"/>
    </row>
    <row r="8" spans="3:25" x14ac:dyDescent="0.5">
      <c r="C8" s="142" t="s">
        <v>4</v>
      </c>
      <c r="D8" s="143"/>
      <c r="E8" s="143" t="s">
        <v>5</v>
      </c>
      <c r="F8" s="143"/>
      <c r="G8" s="143"/>
      <c r="H8" s="143"/>
      <c r="I8" s="143"/>
      <c r="J8" s="143"/>
      <c r="K8" s="143"/>
      <c r="L8" s="14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3:25" x14ac:dyDescent="0.5">
      <c r="C9" s="142" t="s">
        <v>6</v>
      </c>
      <c r="D9" s="143"/>
      <c r="E9" s="143"/>
      <c r="F9" s="143"/>
      <c r="G9" s="143" t="s">
        <v>7</v>
      </c>
      <c r="H9" s="143"/>
      <c r="I9" s="143"/>
      <c r="J9" s="143"/>
      <c r="K9" s="143"/>
      <c r="L9" s="14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3:25" x14ac:dyDescent="0.5">
      <c r="C10" s="142" t="s">
        <v>8</v>
      </c>
      <c r="D10" s="143"/>
      <c r="E10" s="143"/>
      <c r="F10" s="143" t="s">
        <v>9</v>
      </c>
      <c r="G10" s="143"/>
      <c r="H10" s="143"/>
      <c r="I10" s="143"/>
      <c r="J10" s="143"/>
      <c r="K10" s="143"/>
      <c r="L10" s="14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3:25" x14ac:dyDescent="0.5">
      <c r="C11" s="142" t="s">
        <v>10</v>
      </c>
      <c r="D11" s="143"/>
      <c r="E11" s="143"/>
      <c r="F11" s="143">
        <v>500</v>
      </c>
      <c r="G11" s="143"/>
      <c r="H11" s="143"/>
      <c r="I11" s="143"/>
      <c r="J11" s="143"/>
      <c r="K11" s="143"/>
      <c r="L11" s="14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3:25" x14ac:dyDescent="0.5">
      <c r="C12" s="142" t="s">
        <v>11</v>
      </c>
      <c r="D12" s="143"/>
      <c r="E12" s="143"/>
      <c r="F12" s="143">
        <v>15</v>
      </c>
      <c r="G12" s="143"/>
      <c r="H12" s="143"/>
      <c r="I12" s="143"/>
      <c r="J12" s="143"/>
      <c r="K12" s="143"/>
      <c r="L12" s="14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3:25" x14ac:dyDescent="0.5">
      <c r="C13" s="142" t="s">
        <v>12</v>
      </c>
      <c r="D13" s="143"/>
      <c r="E13" s="143"/>
      <c r="F13" s="143" t="s">
        <v>13</v>
      </c>
      <c r="G13" s="143"/>
      <c r="H13" s="143"/>
      <c r="I13" s="143"/>
      <c r="J13" s="143"/>
      <c r="K13" s="143"/>
      <c r="L13" s="14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3:25" ht="23.5" thickBot="1" x14ac:dyDescent="0.55000000000000004">
      <c r="C14" s="144" t="s">
        <v>14</v>
      </c>
      <c r="D14" s="145"/>
      <c r="E14" s="145"/>
      <c r="F14" s="145"/>
      <c r="G14" s="145"/>
      <c r="H14" s="145"/>
      <c r="I14" s="145"/>
      <c r="J14" s="145"/>
      <c r="K14" s="145"/>
      <c r="L14" s="14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3:25" x14ac:dyDescent="0.5"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3:25" x14ac:dyDescent="0.5"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4:25" x14ac:dyDescent="0.5"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</sheetData>
  <mergeCells count="1">
    <mergeCell ref="C5:M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15"/>
  <sheetViews>
    <sheetView workbookViewId="0">
      <selection activeCell="M12" sqref="M12"/>
    </sheetView>
  </sheetViews>
  <sheetFormatPr defaultRowHeight="14.5" x14ac:dyDescent="0.35"/>
  <cols>
    <col min="3" max="3" width="16.81640625" customWidth="1"/>
    <col min="7" max="7" width="11" customWidth="1"/>
  </cols>
  <sheetData>
    <row r="3" spans="3:16" ht="22" customHeight="1" x14ac:dyDescent="0.5">
      <c r="C3" s="8" t="s">
        <v>15</v>
      </c>
      <c r="D3" s="8"/>
      <c r="E3" s="8"/>
      <c r="F3" s="8"/>
      <c r="G3" s="8"/>
      <c r="H3" s="8"/>
      <c r="L3" s="3" t="s">
        <v>29</v>
      </c>
      <c r="M3" s="18"/>
      <c r="N3" s="18"/>
      <c r="O3" s="18"/>
      <c r="P3" s="18"/>
    </row>
    <row r="5" spans="3:16" ht="15" thickBot="1" x14ac:dyDescent="0.4">
      <c r="C5" s="12" t="s">
        <v>16</v>
      </c>
      <c r="D5" s="13" t="s">
        <v>17</v>
      </c>
      <c r="E5" s="13" t="s">
        <v>18</v>
      </c>
      <c r="F5" s="13" t="s">
        <v>19</v>
      </c>
      <c r="G5" s="13" t="s">
        <v>20</v>
      </c>
      <c r="H5" s="14" t="s">
        <v>21</v>
      </c>
      <c r="L5" s="26" t="s">
        <v>30</v>
      </c>
      <c r="M5" s="27"/>
      <c r="N5" s="28"/>
      <c r="O5" s="26" t="s">
        <v>31</v>
      </c>
      <c r="P5" s="27"/>
    </row>
    <row r="6" spans="3:16" x14ac:dyDescent="0.35">
      <c r="C6" s="35" t="s">
        <v>22</v>
      </c>
      <c r="D6" s="36">
        <v>0.56000000000000005</v>
      </c>
      <c r="E6" s="36">
        <v>0.45</v>
      </c>
      <c r="F6" s="36">
        <v>0.67</v>
      </c>
      <c r="G6" s="36">
        <v>0.99</v>
      </c>
      <c r="H6" s="37">
        <v>1</v>
      </c>
      <c r="L6" s="38" t="s">
        <v>32</v>
      </c>
      <c r="M6" s="39"/>
      <c r="N6" s="29"/>
      <c r="O6" s="29" t="s">
        <v>22</v>
      </c>
      <c r="P6" s="30"/>
    </row>
    <row r="7" spans="3:16" x14ac:dyDescent="0.35">
      <c r="C7" s="10" t="s">
        <v>23</v>
      </c>
      <c r="D7" s="9">
        <v>0.98</v>
      </c>
      <c r="E7" s="9">
        <v>1.49</v>
      </c>
      <c r="F7" s="9">
        <v>1.22</v>
      </c>
      <c r="G7" s="9">
        <v>0.98</v>
      </c>
      <c r="H7" s="11">
        <v>2</v>
      </c>
      <c r="L7" s="40" t="s">
        <v>33</v>
      </c>
      <c r="M7" s="41"/>
      <c r="N7" s="24"/>
      <c r="O7" s="25">
        <v>0.99</v>
      </c>
      <c r="P7" s="31"/>
    </row>
    <row r="8" spans="3:16" ht="15" thickBot="1" x14ac:dyDescent="0.4">
      <c r="C8" s="15" t="s">
        <v>24</v>
      </c>
      <c r="D8" s="16">
        <v>1.32</v>
      </c>
      <c r="E8" s="16">
        <v>2.87</v>
      </c>
      <c r="F8" s="16">
        <v>1.69</v>
      </c>
      <c r="G8" s="16">
        <v>0.96</v>
      </c>
      <c r="H8" s="17">
        <v>3</v>
      </c>
      <c r="L8" s="42" t="s">
        <v>34</v>
      </c>
      <c r="M8" s="43"/>
      <c r="N8" s="32"/>
      <c r="O8" s="33" t="s">
        <v>35</v>
      </c>
      <c r="P8" s="34"/>
    </row>
    <row r="10" spans="3:16" ht="18.5" x14ac:dyDescent="0.45">
      <c r="C10" s="7" t="s">
        <v>36</v>
      </c>
      <c r="D10" s="19"/>
      <c r="E10" s="19"/>
      <c r="F10" s="19"/>
      <c r="G10" s="19"/>
      <c r="H10" s="19"/>
    </row>
    <row r="12" spans="3:16" x14ac:dyDescent="0.35">
      <c r="C12" t="s">
        <v>25</v>
      </c>
    </row>
    <row r="13" spans="3:16" x14ac:dyDescent="0.35">
      <c r="C13" t="s">
        <v>26</v>
      </c>
    </row>
    <row r="14" spans="3:16" x14ac:dyDescent="0.35">
      <c r="C14" t="s">
        <v>27</v>
      </c>
    </row>
    <row r="15" spans="3:16" x14ac:dyDescent="0.35">
      <c r="C15" t="s">
        <v>28</v>
      </c>
    </row>
  </sheetData>
  <mergeCells count="7">
    <mergeCell ref="C10:H10"/>
    <mergeCell ref="C3:H3"/>
    <mergeCell ref="L3:P3"/>
    <mergeCell ref="L5:M5"/>
    <mergeCell ref="O5:P5"/>
    <mergeCell ref="O7:P7"/>
    <mergeCell ref="O8:P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>
      <selection activeCell="A11" sqref="A11"/>
    </sheetView>
  </sheetViews>
  <sheetFormatPr defaultRowHeight="14.5" x14ac:dyDescent="0.35"/>
  <sheetData>
    <row r="1" spans="1:21" ht="18" x14ac:dyDescent="0.4">
      <c r="A1" s="4" t="s">
        <v>37</v>
      </c>
      <c r="B1" s="4"/>
      <c r="C1" s="4"/>
      <c r="D1" s="4"/>
      <c r="E1" s="4"/>
      <c r="F1" s="4"/>
      <c r="G1" s="4"/>
    </row>
    <row r="2" spans="1:21" ht="15" thickBot="1" x14ac:dyDescent="0.4"/>
    <row r="3" spans="1:21" ht="18" x14ac:dyDescent="0.4">
      <c r="A3" s="44" t="s">
        <v>38</v>
      </c>
      <c r="B3" s="45" t="s">
        <v>39</v>
      </c>
      <c r="C3" s="45"/>
      <c r="D3" s="45" t="s">
        <v>23</v>
      </c>
      <c r="E3" s="45"/>
      <c r="F3" s="45" t="s">
        <v>24</v>
      </c>
      <c r="G3" s="46"/>
      <c r="L3" s="115"/>
      <c r="M3" s="115"/>
      <c r="N3" s="115"/>
      <c r="O3" s="115"/>
    </row>
    <row r="4" spans="1:21" x14ac:dyDescent="0.35">
      <c r="A4" s="47" t="s">
        <v>17</v>
      </c>
      <c r="B4" s="48">
        <v>0.56000000000000005</v>
      </c>
      <c r="C4" s="48"/>
      <c r="D4" s="48">
        <v>0.98</v>
      </c>
      <c r="E4" s="48"/>
      <c r="F4" s="48">
        <v>1.32</v>
      </c>
      <c r="G4" s="49"/>
      <c r="L4" s="112"/>
      <c r="M4" s="112"/>
      <c r="N4" s="112"/>
      <c r="O4" s="112"/>
      <c r="P4" s="112"/>
      <c r="Q4" s="112"/>
      <c r="R4" s="112"/>
    </row>
    <row r="5" spans="1:21" x14ac:dyDescent="0.35">
      <c r="A5" s="47" t="s">
        <v>18</v>
      </c>
      <c r="B5" s="48">
        <v>0.45</v>
      </c>
      <c r="C5" s="48"/>
      <c r="D5" s="48">
        <v>1.49</v>
      </c>
      <c r="E5" s="48"/>
      <c r="F5" s="48">
        <v>2.87</v>
      </c>
      <c r="G5" s="49"/>
      <c r="L5" s="113"/>
      <c r="M5" s="114"/>
      <c r="N5" s="114"/>
      <c r="O5" s="114"/>
      <c r="P5" s="114"/>
      <c r="Q5" s="114"/>
      <c r="R5" s="114"/>
    </row>
    <row r="6" spans="1:21" x14ac:dyDescent="0.35">
      <c r="A6" s="47" t="s">
        <v>19</v>
      </c>
      <c r="B6" s="48">
        <v>0.67</v>
      </c>
      <c r="C6" s="48"/>
      <c r="D6" s="48">
        <v>1.22</v>
      </c>
      <c r="E6" s="48"/>
      <c r="F6" s="48">
        <v>1.69</v>
      </c>
      <c r="G6" s="49"/>
      <c r="L6" s="113"/>
      <c r="M6" s="114"/>
      <c r="N6" s="114"/>
      <c r="O6" s="114"/>
      <c r="P6" s="114"/>
      <c r="Q6" s="114"/>
      <c r="R6" s="114"/>
    </row>
    <row r="7" spans="1:21" ht="15" thickBot="1" x14ac:dyDescent="0.4">
      <c r="A7" s="50" t="s">
        <v>40</v>
      </c>
      <c r="B7" s="51">
        <v>0.99</v>
      </c>
      <c r="C7" s="51"/>
      <c r="D7" s="51">
        <v>0.98</v>
      </c>
      <c r="E7" s="51"/>
      <c r="F7" s="51">
        <v>0.96</v>
      </c>
      <c r="G7" s="52"/>
    </row>
    <row r="8" spans="1:21" x14ac:dyDescent="0.35">
      <c r="L8" s="89"/>
      <c r="M8" s="111"/>
      <c r="N8" s="111"/>
      <c r="O8" s="111"/>
      <c r="P8" s="111"/>
      <c r="Q8" s="111"/>
      <c r="R8" s="111"/>
      <c r="S8" s="111"/>
    </row>
    <row r="9" spans="1:21" ht="15" thickBot="1" x14ac:dyDescent="0.4">
      <c r="L9" s="89"/>
      <c r="M9" s="111"/>
      <c r="N9" s="111"/>
      <c r="O9" s="111"/>
      <c r="P9" s="111"/>
      <c r="Q9" s="111"/>
      <c r="R9" s="111"/>
      <c r="S9" s="111"/>
    </row>
    <row r="10" spans="1:21" ht="18.5" x14ac:dyDescent="0.45">
      <c r="A10" s="7" t="s">
        <v>41</v>
      </c>
      <c r="B10" s="19"/>
      <c r="C10" s="19"/>
      <c r="D10" s="19"/>
      <c r="E10" s="19"/>
      <c r="F10" s="19"/>
      <c r="G10" s="19"/>
      <c r="L10" s="116" t="s">
        <v>54</v>
      </c>
      <c r="M10" s="117"/>
      <c r="N10" s="117"/>
      <c r="O10" s="117"/>
      <c r="P10" s="117"/>
      <c r="Q10" s="117"/>
      <c r="R10" s="117"/>
      <c r="S10" s="117"/>
      <c r="T10" s="117"/>
      <c r="U10" s="118"/>
    </row>
    <row r="11" spans="1:21" ht="15" thickBot="1" x14ac:dyDescent="0.4">
      <c r="L11" s="119" t="s">
        <v>50</v>
      </c>
      <c r="M11" s="120"/>
      <c r="N11" s="120"/>
      <c r="O11" s="120"/>
      <c r="P11" s="120"/>
      <c r="Q11" s="120"/>
      <c r="R11" s="120"/>
      <c r="S11" s="120"/>
      <c r="T11" s="121"/>
      <c r="U11" s="122"/>
    </row>
    <row r="12" spans="1:21" x14ac:dyDescent="0.35">
      <c r="A12" s="63" t="s">
        <v>42</v>
      </c>
      <c r="B12" s="64"/>
      <c r="C12" s="65"/>
      <c r="D12" s="93" t="s">
        <v>46</v>
      </c>
      <c r="E12" s="94"/>
      <c r="F12" s="94"/>
      <c r="G12" s="94"/>
      <c r="H12" s="94"/>
      <c r="I12" s="95"/>
      <c r="L12" s="119" t="s">
        <v>51</v>
      </c>
      <c r="M12" s="120"/>
      <c r="N12" s="120"/>
      <c r="O12" s="120"/>
      <c r="P12" s="120"/>
      <c r="Q12" s="120"/>
      <c r="R12" s="120"/>
      <c r="S12" s="120"/>
      <c r="T12" s="121"/>
      <c r="U12" s="122"/>
    </row>
    <row r="13" spans="1:21" x14ac:dyDescent="0.35">
      <c r="A13" s="66"/>
      <c r="B13" s="67"/>
      <c r="C13" s="68"/>
      <c r="D13" s="96"/>
      <c r="E13" s="97"/>
      <c r="F13" s="97"/>
      <c r="G13" s="97"/>
      <c r="H13" s="97"/>
      <c r="I13" s="98"/>
      <c r="L13" s="119" t="s">
        <v>52</v>
      </c>
      <c r="M13" s="121"/>
      <c r="N13" s="121"/>
      <c r="O13" s="121"/>
      <c r="P13" s="121"/>
      <c r="Q13" s="121"/>
      <c r="R13" s="121"/>
      <c r="S13" s="121"/>
      <c r="T13" s="121"/>
      <c r="U13" s="122"/>
    </row>
    <row r="14" spans="1:21" ht="15" thickBot="1" x14ac:dyDescent="0.4">
      <c r="A14" s="66"/>
      <c r="B14" s="67"/>
      <c r="C14" s="68"/>
      <c r="D14" s="96"/>
      <c r="E14" s="97"/>
      <c r="F14" s="97"/>
      <c r="G14" s="97"/>
      <c r="H14" s="97"/>
      <c r="I14" s="98"/>
      <c r="L14" s="123" t="s">
        <v>53</v>
      </c>
      <c r="M14" s="124"/>
      <c r="N14" s="124"/>
      <c r="O14" s="124"/>
      <c r="P14" s="124"/>
      <c r="Q14" s="124"/>
      <c r="R14" s="124"/>
      <c r="S14" s="124"/>
      <c r="T14" s="124"/>
      <c r="U14" s="125"/>
    </row>
    <row r="15" spans="1:21" ht="32" customHeight="1" thickBot="1" x14ac:dyDescent="0.4">
      <c r="A15" s="69"/>
      <c r="B15" s="70"/>
      <c r="C15" s="71"/>
      <c r="D15" s="99"/>
      <c r="E15" s="100"/>
      <c r="F15" s="100"/>
      <c r="G15" s="100"/>
      <c r="H15" s="100"/>
      <c r="I15" s="101"/>
    </row>
    <row r="16" spans="1:21" x14ac:dyDescent="0.35">
      <c r="A16" s="87"/>
      <c r="B16" s="87"/>
      <c r="C16" s="87"/>
      <c r="D16" s="53"/>
      <c r="E16" s="53"/>
      <c r="F16" s="53"/>
      <c r="G16" s="53"/>
      <c r="H16" s="62"/>
      <c r="I16" s="62"/>
    </row>
    <row r="17" spans="1:9" ht="2.5" customHeight="1" thickBot="1" x14ac:dyDescent="0.4"/>
    <row r="18" spans="1:9" x14ac:dyDescent="0.35">
      <c r="A18" s="63" t="s">
        <v>43</v>
      </c>
      <c r="B18" s="64"/>
      <c r="C18" s="64"/>
      <c r="D18" s="103" t="s">
        <v>47</v>
      </c>
      <c r="E18" s="104"/>
      <c r="F18" s="104"/>
      <c r="G18" s="104"/>
      <c r="H18" s="105"/>
      <c r="I18" s="81"/>
    </row>
    <row r="19" spans="1:9" x14ac:dyDescent="0.35">
      <c r="A19" s="66"/>
      <c r="B19" s="67"/>
      <c r="C19" s="67"/>
      <c r="D19" s="106"/>
      <c r="E19" s="102"/>
      <c r="F19" s="102"/>
      <c r="G19" s="102"/>
      <c r="H19" s="107"/>
      <c r="I19" s="81"/>
    </row>
    <row r="20" spans="1:9" x14ac:dyDescent="0.35">
      <c r="A20" s="66"/>
      <c r="B20" s="67"/>
      <c r="C20" s="67"/>
      <c r="D20" s="106"/>
      <c r="E20" s="102"/>
      <c r="F20" s="102"/>
      <c r="G20" s="102"/>
      <c r="H20" s="107"/>
      <c r="I20" s="81"/>
    </row>
    <row r="21" spans="1:9" ht="36" customHeight="1" thickBot="1" x14ac:dyDescent="0.4">
      <c r="A21" s="69"/>
      <c r="B21" s="70"/>
      <c r="C21" s="70"/>
      <c r="D21" s="108"/>
      <c r="E21" s="109"/>
      <c r="F21" s="109"/>
      <c r="G21" s="109"/>
      <c r="H21" s="110"/>
      <c r="I21" s="81"/>
    </row>
    <row r="22" spans="1:9" x14ac:dyDescent="0.35">
      <c r="A22" s="87"/>
      <c r="B22" s="87"/>
      <c r="C22" s="87"/>
      <c r="D22" s="53"/>
      <c r="E22" s="20"/>
      <c r="F22" s="20"/>
      <c r="G22" s="20"/>
      <c r="H22" s="20"/>
      <c r="I22" s="81"/>
    </row>
    <row r="23" spans="1:9" ht="15" thickBot="1" x14ac:dyDescent="0.4">
      <c r="A23" s="87"/>
      <c r="B23" s="87"/>
      <c r="C23" s="87"/>
      <c r="D23" s="53"/>
      <c r="E23" s="20"/>
      <c r="F23" s="20"/>
      <c r="G23" s="20"/>
      <c r="H23" s="20"/>
      <c r="I23" s="81"/>
    </row>
    <row r="24" spans="1:9" x14ac:dyDescent="0.35">
      <c r="A24" s="76" t="s">
        <v>44</v>
      </c>
      <c r="B24" s="72"/>
      <c r="C24" s="73"/>
      <c r="D24" s="93" t="s">
        <v>48</v>
      </c>
      <c r="E24" s="82"/>
      <c r="F24" s="82"/>
      <c r="G24" s="82"/>
      <c r="H24" s="90"/>
    </row>
    <row r="25" spans="1:9" x14ac:dyDescent="0.35">
      <c r="A25" s="77"/>
      <c r="B25" s="74"/>
      <c r="C25" s="75"/>
      <c r="D25" s="83"/>
      <c r="E25" s="84"/>
      <c r="F25" s="84"/>
      <c r="G25" s="84"/>
      <c r="H25" s="91"/>
    </row>
    <row r="26" spans="1:9" x14ac:dyDescent="0.35">
      <c r="A26" s="77"/>
      <c r="B26" s="74"/>
      <c r="C26" s="75"/>
      <c r="D26" s="83"/>
      <c r="E26" s="84"/>
      <c r="F26" s="84"/>
      <c r="G26" s="84"/>
      <c r="H26" s="91"/>
    </row>
    <row r="27" spans="1:9" ht="34" customHeight="1" thickBot="1" x14ac:dyDescent="0.4">
      <c r="A27" s="78"/>
      <c r="B27" s="79"/>
      <c r="C27" s="80"/>
      <c r="D27" s="85"/>
      <c r="E27" s="86"/>
      <c r="F27" s="86"/>
      <c r="G27" s="86"/>
      <c r="H27" s="92"/>
    </row>
    <row r="28" spans="1:9" x14ac:dyDescent="0.35">
      <c r="A28" s="88"/>
      <c r="B28" s="88"/>
      <c r="C28" s="88"/>
      <c r="D28" s="53"/>
      <c r="E28" s="20"/>
      <c r="F28" s="20"/>
      <c r="G28" s="21"/>
      <c r="H28" s="21"/>
    </row>
    <row r="29" spans="1:9" x14ac:dyDescent="0.35">
      <c r="A29" s="88"/>
      <c r="B29" s="88"/>
      <c r="C29" s="88"/>
      <c r="D29" s="53"/>
      <c r="E29" s="20"/>
      <c r="F29" s="20"/>
      <c r="G29" s="21"/>
      <c r="H29" s="21"/>
    </row>
    <row r="30" spans="1:9" ht="11" customHeight="1" thickBot="1" x14ac:dyDescent="0.4"/>
    <row r="31" spans="1:9" x14ac:dyDescent="0.35">
      <c r="A31" s="63" t="s">
        <v>45</v>
      </c>
      <c r="B31" s="64"/>
      <c r="C31" s="65"/>
      <c r="D31" s="93" t="s">
        <v>49</v>
      </c>
      <c r="E31" s="94"/>
      <c r="F31" s="94"/>
      <c r="G31" s="94"/>
      <c r="H31" s="95"/>
    </row>
    <row r="32" spans="1:9" x14ac:dyDescent="0.35">
      <c r="A32" s="66"/>
      <c r="B32" s="67"/>
      <c r="C32" s="68"/>
      <c r="D32" s="96"/>
      <c r="E32" s="97"/>
      <c r="F32" s="97"/>
      <c r="G32" s="97"/>
      <c r="H32" s="98"/>
    </row>
    <row r="33" spans="1:8" x14ac:dyDescent="0.35">
      <c r="A33" s="66"/>
      <c r="B33" s="67"/>
      <c r="C33" s="68"/>
      <c r="D33" s="96"/>
      <c r="E33" s="97"/>
      <c r="F33" s="97"/>
      <c r="G33" s="97"/>
      <c r="H33" s="98"/>
    </row>
    <row r="34" spans="1:8" ht="22" customHeight="1" thickBot="1" x14ac:dyDescent="0.4">
      <c r="A34" s="69"/>
      <c r="B34" s="70"/>
      <c r="C34" s="71"/>
      <c r="D34" s="99"/>
      <c r="E34" s="100"/>
      <c r="F34" s="100"/>
      <c r="G34" s="100"/>
      <c r="H34" s="101"/>
    </row>
  </sheetData>
  <mergeCells count="30">
    <mergeCell ref="M8:S9"/>
    <mergeCell ref="L8:L9"/>
    <mergeCell ref="A24:C27"/>
    <mergeCell ref="A31:C34"/>
    <mergeCell ref="L3:O3"/>
    <mergeCell ref="M5:R6"/>
    <mergeCell ref="D12:I15"/>
    <mergeCell ref="D18:H21"/>
    <mergeCell ref="D24:H27"/>
    <mergeCell ref="D31:H34"/>
    <mergeCell ref="L5:L6"/>
    <mergeCell ref="F6:G6"/>
    <mergeCell ref="F7:G7"/>
    <mergeCell ref="A1:G1"/>
    <mergeCell ref="A10:G10"/>
    <mergeCell ref="A12:C15"/>
    <mergeCell ref="A18:C21"/>
    <mergeCell ref="B6:C6"/>
    <mergeCell ref="B7:C7"/>
    <mergeCell ref="D4:E4"/>
    <mergeCell ref="D5:E5"/>
    <mergeCell ref="D6:E6"/>
    <mergeCell ref="D7:E7"/>
    <mergeCell ref="B3:C3"/>
    <mergeCell ref="D3:E3"/>
    <mergeCell ref="F3:G3"/>
    <mergeCell ref="B4:C4"/>
    <mergeCell ref="B5:C5"/>
    <mergeCell ref="F4:G4"/>
    <mergeCell ref="F5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"/>
  <sheetViews>
    <sheetView workbookViewId="0">
      <selection activeCell="E20" sqref="E20"/>
    </sheetView>
  </sheetViews>
  <sheetFormatPr defaultRowHeight="14.5" x14ac:dyDescent="0.35"/>
  <cols>
    <col min="2" max="2" width="23.08984375" customWidth="1"/>
    <col min="3" max="3" width="12.08984375" customWidth="1"/>
    <col min="4" max="4" width="9.453125" customWidth="1"/>
    <col min="5" max="5" width="51.36328125" customWidth="1"/>
  </cols>
  <sheetData>
    <row r="1" spans="2:12" ht="18" x14ac:dyDescent="0.4">
      <c r="B1" s="139" t="s">
        <v>55</v>
      </c>
      <c r="C1" s="139"/>
      <c r="D1" s="139"/>
      <c r="E1" s="139"/>
      <c r="F1" s="138"/>
    </row>
    <row r="3" spans="2:12" x14ac:dyDescent="0.35">
      <c r="B3" s="128" t="s">
        <v>56</v>
      </c>
      <c r="C3" s="129" t="s">
        <v>57</v>
      </c>
      <c r="D3" s="129" t="s">
        <v>58</v>
      </c>
      <c r="E3" s="130" t="s">
        <v>59</v>
      </c>
      <c r="J3" s="20"/>
      <c r="K3" s="20"/>
      <c r="L3" s="20"/>
    </row>
    <row r="4" spans="2:12" x14ac:dyDescent="0.35">
      <c r="B4" s="132" t="s">
        <v>60</v>
      </c>
      <c r="C4" s="133">
        <v>6.9026300000000003</v>
      </c>
      <c r="D4" s="9" t="s">
        <v>68</v>
      </c>
      <c r="E4" s="134" t="s">
        <v>70</v>
      </c>
      <c r="J4" s="126"/>
      <c r="K4" s="126"/>
      <c r="L4" s="126"/>
    </row>
    <row r="5" spans="2:12" x14ac:dyDescent="0.35">
      <c r="B5" s="132" t="s">
        <v>61</v>
      </c>
      <c r="C5" s="133">
        <v>0.75389499999999998</v>
      </c>
      <c r="D5" s="9" t="s">
        <v>68</v>
      </c>
      <c r="E5" s="134" t="s">
        <v>71</v>
      </c>
      <c r="J5" s="126"/>
      <c r="K5" s="126"/>
      <c r="L5" s="126"/>
    </row>
    <row r="6" spans="2:12" x14ac:dyDescent="0.35">
      <c r="B6" s="132" t="s">
        <v>62</v>
      </c>
      <c r="C6" s="133">
        <v>-0.74954500000000002</v>
      </c>
      <c r="D6" s="9" t="s">
        <v>69</v>
      </c>
      <c r="E6" s="134" t="s">
        <v>72</v>
      </c>
      <c r="J6" s="126"/>
      <c r="K6" s="126"/>
      <c r="L6" s="126"/>
    </row>
    <row r="7" spans="2:12" x14ac:dyDescent="0.35">
      <c r="B7" s="132" t="s">
        <v>63</v>
      </c>
      <c r="C7" s="133">
        <v>0.57217499999999999</v>
      </c>
      <c r="D7" s="9" t="s">
        <v>68</v>
      </c>
      <c r="E7" s="134" t="s">
        <v>73</v>
      </c>
      <c r="J7" s="126"/>
      <c r="K7" s="126"/>
      <c r="L7" s="126"/>
    </row>
    <row r="8" spans="2:12" x14ac:dyDescent="0.35">
      <c r="B8" s="132" t="s">
        <v>64</v>
      </c>
      <c r="C8" s="133">
        <v>0.52541700000000002</v>
      </c>
      <c r="D8" s="9" t="s">
        <v>68</v>
      </c>
      <c r="E8" s="134" t="s">
        <v>74</v>
      </c>
      <c r="J8" s="126"/>
      <c r="K8" s="126"/>
      <c r="L8" s="126"/>
    </row>
    <row r="9" spans="2:12" x14ac:dyDescent="0.35">
      <c r="B9" s="132" t="s">
        <v>65</v>
      </c>
      <c r="C9" s="133">
        <v>0.51765799999999995</v>
      </c>
      <c r="D9" s="9" t="s">
        <v>68</v>
      </c>
      <c r="E9" s="134" t="s">
        <v>75</v>
      </c>
      <c r="J9" s="126"/>
      <c r="K9" s="126"/>
      <c r="L9" s="126"/>
    </row>
    <row r="10" spans="2:12" x14ac:dyDescent="0.35">
      <c r="B10" s="132" t="s">
        <v>66</v>
      </c>
      <c r="C10" s="133">
        <v>0.277507</v>
      </c>
      <c r="D10" s="9" t="s">
        <v>68</v>
      </c>
      <c r="E10" s="134" t="s">
        <v>76</v>
      </c>
      <c r="J10" s="126"/>
      <c r="K10" s="126"/>
      <c r="L10" s="126"/>
    </row>
    <row r="11" spans="2:12" x14ac:dyDescent="0.35">
      <c r="B11" s="135" t="s">
        <v>67</v>
      </c>
      <c r="C11" s="136">
        <v>0.18376600000000001</v>
      </c>
      <c r="D11" s="16" t="s">
        <v>68</v>
      </c>
      <c r="E11" s="137" t="s">
        <v>77</v>
      </c>
      <c r="J11" s="126"/>
      <c r="K11" s="126"/>
      <c r="L11" s="126"/>
    </row>
    <row r="12" spans="2:12" ht="15" thickBot="1" x14ac:dyDescent="0.4">
      <c r="J12" s="20"/>
      <c r="K12" s="20"/>
      <c r="L12" s="20"/>
    </row>
    <row r="13" spans="2:12" ht="18.5" thickBot="1" x14ac:dyDescent="0.45">
      <c r="B13" s="151" t="s">
        <v>78</v>
      </c>
      <c r="C13" s="152"/>
      <c r="D13" s="152"/>
      <c r="E13" s="153"/>
    </row>
    <row r="14" spans="2:12" x14ac:dyDescent="0.35">
      <c r="B14" s="54" t="s">
        <v>79</v>
      </c>
      <c r="C14" s="57" t="s">
        <v>80</v>
      </c>
      <c r="D14" s="57"/>
      <c r="E14" s="58"/>
    </row>
    <row r="15" spans="2:12" x14ac:dyDescent="0.35">
      <c r="B15" s="55" t="s">
        <v>81</v>
      </c>
      <c r="C15" s="22" t="s">
        <v>82</v>
      </c>
      <c r="D15" s="22"/>
      <c r="E15" s="59"/>
    </row>
    <row r="16" spans="2:12" x14ac:dyDescent="0.35">
      <c r="B16" s="55" t="s">
        <v>83</v>
      </c>
      <c r="C16" s="22" t="s">
        <v>84</v>
      </c>
      <c r="D16" s="22"/>
      <c r="E16" s="59"/>
    </row>
    <row r="17" spans="2:5" x14ac:dyDescent="0.35">
      <c r="B17" s="55" t="s">
        <v>85</v>
      </c>
      <c r="C17" s="22" t="s">
        <v>86</v>
      </c>
      <c r="D17" s="22"/>
      <c r="E17" s="59"/>
    </row>
    <row r="18" spans="2:5" ht="15" thickBot="1" x14ac:dyDescent="0.4">
      <c r="B18" s="56" t="s">
        <v>88</v>
      </c>
      <c r="C18" s="60" t="s">
        <v>87</v>
      </c>
      <c r="D18" s="60"/>
      <c r="E18" s="61"/>
    </row>
  </sheetData>
  <mergeCells count="2">
    <mergeCell ref="B1:E1"/>
    <mergeCell ref="B13:E1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O27"/>
  <sheetViews>
    <sheetView topLeftCell="A18" workbookViewId="0">
      <selection activeCell="J23" sqref="J23"/>
    </sheetView>
  </sheetViews>
  <sheetFormatPr defaultRowHeight="14.5" x14ac:dyDescent="0.35"/>
  <cols>
    <col min="4" max="4" width="20.36328125" customWidth="1"/>
    <col min="5" max="5" width="23" customWidth="1"/>
    <col min="6" max="6" width="8.81640625" bestFit="1" customWidth="1"/>
    <col min="7" max="7" width="11.81640625" bestFit="1" customWidth="1"/>
    <col min="12" max="12" width="11.36328125" bestFit="1" customWidth="1"/>
  </cols>
  <sheetData>
    <row r="2" spans="4:15" ht="15.5" x14ac:dyDescent="0.35">
      <c r="D2" s="154" t="s">
        <v>89</v>
      </c>
      <c r="E2" s="154"/>
      <c r="F2" s="154"/>
      <c r="G2" s="154"/>
      <c r="H2" s="155"/>
    </row>
    <row r="4" spans="4:15" x14ac:dyDescent="0.35">
      <c r="D4" s="128" t="s">
        <v>90</v>
      </c>
      <c r="E4" s="129" t="s">
        <v>91</v>
      </c>
      <c r="F4" s="129" t="s">
        <v>92</v>
      </c>
      <c r="G4" s="130" t="s">
        <v>93</v>
      </c>
      <c r="I4" s="164" t="s">
        <v>38</v>
      </c>
      <c r="J4" s="165"/>
      <c r="K4" s="166"/>
      <c r="L4" s="167" t="s">
        <v>31</v>
      </c>
      <c r="M4" s="161"/>
      <c r="N4" s="161"/>
    </row>
    <row r="5" spans="4:15" x14ac:dyDescent="0.35">
      <c r="D5" s="157">
        <v>10.37</v>
      </c>
      <c r="E5" s="156">
        <v>9.8644739999999995</v>
      </c>
      <c r="F5" s="23">
        <f>ABS(D5-E5)</f>
        <v>0.5055259999999997</v>
      </c>
      <c r="G5" s="127">
        <f>100-(F5/D5*100)</f>
        <v>95.125110896817745</v>
      </c>
      <c r="I5" s="24" t="s">
        <v>94</v>
      </c>
      <c r="J5" s="24"/>
      <c r="K5" s="24"/>
      <c r="L5" s="163">
        <f>AVERAGE(Table6[[Error ]])</f>
        <v>0.58589461904761841</v>
      </c>
      <c r="M5" s="162"/>
      <c r="N5" s="162"/>
    </row>
    <row r="6" spans="4:15" x14ac:dyDescent="0.35">
      <c r="D6" s="157">
        <v>15.58</v>
      </c>
      <c r="E6" s="156">
        <v>14.987158000000001</v>
      </c>
      <c r="F6" s="23">
        <f t="shared" ref="F6:F25" si="0">ABS(D6-E6)</f>
        <v>0.5928419999999992</v>
      </c>
      <c r="G6" s="127">
        <f t="shared" ref="G6:G25" si="1">100-(F6/D6*100)</f>
        <v>96.194852374839542</v>
      </c>
      <c r="I6" s="24" t="s">
        <v>95</v>
      </c>
      <c r="J6" s="24"/>
      <c r="K6" s="24"/>
      <c r="L6" s="163">
        <f>MAX(Table6[[Error ]])</f>
        <v>1.3789069999999981</v>
      </c>
      <c r="M6" s="162"/>
      <c r="N6" s="162"/>
    </row>
    <row r="7" spans="4:15" x14ac:dyDescent="0.35">
      <c r="D7" s="157">
        <v>13.27</v>
      </c>
      <c r="E7" s="156">
        <v>12.714772</v>
      </c>
      <c r="F7" s="23">
        <f t="shared" si="0"/>
        <v>0.55522799999999961</v>
      </c>
      <c r="G7" s="127">
        <f t="shared" si="1"/>
        <v>95.815915599095703</v>
      </c>
      <c r="I7" s="24" t="s">
        <v>96</v>
      </c>
      <c r="J7" s="24"/>
      <c r="K7" s="24"/>
      <c r="L7" s="163">
        <f>MIN(Table6[[Error ]])</f>
        <v>2.6341999999999643E-2</v>
      </c>
      <c r="M7" s="162"/>
      <c r="N7" s="162"/>
    </row>
    <row r="8" spans="4:15" x14ac:dyDescent="0.35">
      <c r="D8" s="157">
        <v>37.200000000000003</v>
      </c>
      <c r="E8" s="156">
        <v>36.801886000000003</v>
      </c>
      <c r="F8" s="23">
        <f t="shared" si="0"/>
        <v>0.39811399999999963</v>
      </c>
      <c r="G8" s="127">
        <f t="shared" si="1"/>
        <v>98.929801075268813</v>
      </c>
      <c r="I8" s="24" t="s">
        <v>97</v>
      </c>
      <c r="J8" s="24"/>
      <c r="K8" s="24"/>
      <c r="L8" s="163">
        <f>COUNT(Table6[Actual Consumption])</f>
        <v>21</v>
      </c>
      <c r="M8" s="162"/>
      <c r="N8" s="162"/>
    </row>
    <row r="9" spans="4:15" x14ac:dyDescent="0.35">
      <c r="D9" s="157">
        <v>34.56</v>
      </c>
      <c r="E9" s="156">
        <v>34.251727000000002</v>
      </c>
      <c r="F9" s="23">
        <f t="shared" si="0"/>
        <v>0.3082729999999998</v>
      </c>
      <c r="G9" s="127">
        <f t="shared" si="1"/>
        <v>99.108006365740735</v>
      </c>
      <c r="L9" s="162"/>
      <c r="M9" s="162"/>
      <c r="N9" s="162"/>
    </row>
    <row r="10" spans="4:15" x14ac:dyDescent="0.35">
      <c r="D10" s="157">
        <v>31.94</v>
      </c>
      <c r="E10" s="156">
        <v>32.358612999999998</v>
      </c>
      <c r="F10" s="23">
        <f t="shared" si="0"/>
        <v>0.41861299999999702</v>
      </c>
      <c r="G10" s="127">
        <f t="shared" si="1"/>
        <v>98.689376956793993</v>
      </c>
      <c r="L10" s="162"/>
      <c r="M10" s="162"/>
      <c r="N10" s="162"/>
    </row>
    <row r="11" spans="4:15" x14ac:dyDescent="0.35">
      <c r="D11" s="157">
        <v>32.93</v>
      </c>
      <c r="E11" s="156">
        <v>32.236361000000002</v>
      </c>
      <c r="F11" s="23">
        <f t="shared" si="0"/>
        <v>0.69363899999999745</v>
      </c>
      <c r="G11" s="127">
        <f t="shared" si="1"/>
        <v>97.893595505617981</v>
      </c>
      <c r="L11" s="162"/>
      <c r="M11" s="162"/>
      <c r="N11" s="162"/>
    </row>
    <row r="12" spans="4:15" x14ac:dyDescent="0.35">
      <c r="D12" s="157">
        <v>8.11</v>
      </c>
      <c r="E12" s="156">
        <v>7.8971410000000004</v>
      </c>
      <c r="F12" s="23">
        <f t="shared" si="0"/>
        <v>0.21285899999999902</v>
      </c>
      <c r="G12" s="127">
        <f t="shared" si="1"/>
        <v>97.375351418002481</v>
      </c>
      <c r="L12" s="162"/>
      <c r="M12" s="162"/>
      <c r="N12" s="162"/>
    </row>
    <row r="13" spans="4:15" ht="15" thickBot="1" x14ac:dyDescent="0.4">
      <c r="D13" s="157">
        <v>10.23</v>
      </c>
      <c r="E13" s="156">
        <v>10.589397</v>
      </c>
      <c r="F13" s="23">
        <f t="shared" si="0"/>
        <v>0.35939699999999952</v>
      </c>
      <c r="G13" s="127">
        <f t="shared" si="1"/>
        <v>96.486832844574778</v>
      </c>
      <c r="L13" s="162"/>
      <c r="M13" s="162"/>
      <c r="N13" s="162"/>
    </row>
    <row r="14" spans="4:15" x14ac:dyDescent="0.35">
      <c r="D14" s="157">
        <v>13.86</v>
      </c>
      <c r="E14" s="156">
        <v>14.834816</v>
      </c>
      <c r="F14" s="23">
        <f t="shared" si="0"/>
        <v>0.97481600000000057</v>
      </c>
      <c r="G14" s="127">
        <f t="shared" si="1"/>
        <v>92.966695526695517</v>
      </c>
      <c r="I14" s="168" t="s">
        <v>99</v>
      </c>
      <c r="J14" s="169"/>
      <c r="K14" s="170"/>
      <c r="L14" s="171"/>
      <c r="M14" s="171"/>
      <c r="N14" s="171"/>
      <c r="O14" s="172"/>
    </row>
    <row r="15" spans="4:15" x14ac:dyDescent="0.35">
      <c r="D15" s="157">
        <v>10.93</v>
      </c>
      <c r="E15" s="156">
        <v>11.676294</v>
      </c>
      <c r="F15" s="23">
        <f t="shared" si="0"/>
        <v>0.74629400000000068</v>
      </c>
      <c r="G15" s="127">
        <f t="shared" si="1"/>
        <v>93.172058554437328</v>
      </c>
      <c r="I15" s="173" t="s">
        <v>100</v>
      </c>
      <c r="J15" s="174"/>
      <c r="K15" s="174"/>
      <c r="L15" s="175"/>
      <c r="M15" s="175"/>
      <c r="N15" s="175"/>
      <c r="O15" s="176"/>
    </row>
    <row r="16" spans="4:15" x14ac:dyDescent="0.35">
      <c r="D16" s="157">
        <v>16.84</v>
      </c>
      <c r="E16" s="156">
        <v>16.500990000000002</v>
      </c>
      <c r="F16" s="23">
        <f t="shared" si="0"/>
        <v>0.33900999999999826</v>
      </c>
      <c r="G16" s="127">
        <f t="shared" si="1"/>
        <v>97.986876484560582</v>
      </c>
      <c r="I16" s="173" t="s">
        <v>101</v>
      </c>
      <c r="J16" s="174"/>
      <c r="K16" s="174"/>
      <c r="L16" s="175"/>
      <c r="M16" s="175"/>
      <c r="N16" s="175"/>
      <c r="O16" s="176"/>
    </row>
    <row r="17" spans="4:15" x14ac:dyDescent="0.35">
      <c r="D17" s="157">
        <v>21.67</v>
      </c>
      <c r="E17" s="156">
        <v>22.639219000000001</v>
      </c>
      <c r="F17" s="23">
        <f t="shared" si="0"/>
        <v>0.96921899999999894</v>
      </c>
      <c r="G17" s="127">
        <f t="shared" si="1"/>
        <v>95.527369635440706</v>
      </c>
      <c r="I17" s="173" t="s">
        <v>102</v>
      </c>
      <c r="J17" s="174"/>
      <c r="K17" s="174"/>
      <c r="L17" s="175"/>
      <c r="M17" s="175"/>
      <c r="N17" s="175"/>
      <c r="O17" s="176"/>
    </row>
    <row r="18" spans="4:15" x14ac:dyDescent="0.35">
      <c r="D18" s="157">
        <v>26.52</v>
      </c>
      <c r="E18" s="156">
        <v>25.141093000000001</v>
      </c>
      <c r="F18" s="23">
        <f t="shared" si="0"/>
        <v>1.3789069999999981</v>
      </c>
      <c r="G18" s="127">
        <f t="shared" si="1"/>
        <v>94.800501508295639</v>
      </c>
      <c r="I18" s="173" t="s">
        <v>103</v>
      </c>
      <c r="J18" s="174"/>
      <c r="K18" s="174"/>
      <c r="L18" s="175"/>
      <c r="M18" s="175"/>
      <c r="N18" s="175"/>
      <c r="O18" s="176"/>
    </row>
    <row r="19" spans="4:15" x14ac:dyDescent="0.35">
      <c r="D19" s="157">
        <v>24.45</v>
      </c>
      <c r="E19" s="156">
        <v>24.294233999999999</v>
      </c>
      <c r="F19" s="23">
        <f t="shared" si="0"/>
        <v>0.15576599999999985</v>
      </c>
      <c r="G19" s="127">
        <f t="shared" si="1"/>
        <v>99.362920245398769</v>
      </c>
      <c r="I19" s="173" t="s">
        <v>104</v>
      </c>
      <c r="J19" s="174"/>
      <c r="K19" s="174"/>
      <c r="L19" s="175"/>
      <c r="M19" s="175"/>
      <c r="N19" s="175"/>
      <c r="O19" s="176"/>
    </row>
    <row r="20" spans="4:15" x14ac:dyDescent="0.35">
      <c r="D20" s="157">
        <v>18.440000000000001</v>
      </c>
      <c r="E20" s="156">
        <v>18.466342000000001</v>
      </c>
      <c r="F20" s="23">
        <f t="shared" si="0"/>
        <v>2.6341999999999643E-2</v>
      </c>
      <c r="G20" s="127">
        <f t="shared" si="1"/>
        <v>99.857147505423001</v>
      </c>
      <c r="I20" s="173" t="s">
        <v>105</v>
      </c>
      <c r="J20" s="174"/>
      <c r="K20" s="174"/>
      <c r="L20" s="175"/>
      <c r="M20" s="175"/>
      <c r="N20" s="175"/>
      <c r="O20" s="176"/>
    </row>
    <row r="21" spans="4:15" ht="15" thickBot="1" x14ac:dyDescent="0.4">
      <c r="D21" s="157">
        <v>16.420000000000002</v>
      </c>
      <c r="E21" s="156">
        <v>17.776176</v>
      </c>
      <c r="F21" s="23">
        <f t="shared" si="0"/>
        <v>1.3561759999999978</v>
      </c>
      <c r="G21" s="127">
        <f t="shared" si="1"/>
        <v>91.740706455542039</v>
      </c>
      <c r="I21" s="177" t="s">
        <v>106</v>
      </c>
      <c r="J21" s="178"/>
      <c r="K21" s="178"/>
      <c r="L21" s="179"/>
      <c r="M21" s="179"/>
      <c r="N21" s="179"/>
      <c r="O21" s="180"/>
    </row>
    <row r="22" spans="4:15" x14ac:dyDescent="0.35">
      <c r="D22" s="157">
        <v>12.54</v>
      </c>
      <c r="E22" s="156">
        <v>13.28998</v>
      </c>
      <c r="F22" s="23">
        <f t="shared" si="0"/>
        <v>0.74998000000000076</v>
      </c>
      <c r="G22" s="127">
        <f t="shared" si="1"/>
        <v>94.019298245614024</v>
      </c>
      <c r="L22" s="162"/>
      <c r="M22" s="162"/>
      <c r="N22" s="162"/>
    </row>
    <row r="23" spans="4:15" x14ac:dyDescent="0.35">
      <c r="D23" s="157">
        <v>22.21</v>
      </c>
      <c r="E23" s="156">
        <v>21.245830999999999</v>
      </c>
      <c r="F23" s="23">
        <f t="shared" si="0"/>
        <v>0.96416900000000183</v>
      </c>
      <c r="G23" s="127">
        <f t="shared" si="1"/>
        <v>95.658851868527677</v>
      </c>
      <c r="L23" s="162"/>
      <c r="M23" s="162"/>
      <c r="N23" s="162"/>
    </row>
    <row r="24" spans="4:15" x14ac:dyDescent="0.35">
      <c r="D24" s="157">
        <v>34.119999999999997</v>
      </c>
      <c r="E24" s="156">
        <v>33.740817999999997</v>
      </c>
      <c r="F24" s="23">
        <f t="shared" si="0"/>
        <v>0.37918200000000013</v>
      </c>
      <c r="G24" s="127">
        <f t="shared" si="1"/>
        <v>98.888681125439618</v>
      </c>
      <c r="L24" s="162"/>
      <c r="M24" s="162"/>
      <c r="N24" s="162"/>
    </row>
    <row r="25" spans="4:15" x14ac:dyDescent="0.35">
      <c r="D25" s="158">
        <v>15.85</v>
      </c>
      <c r="E25" s="159">
        <v>16.069434999999999</v>
      </c>
      <c r="F25" s="131">
        <f t="shared" si="0"/>
        <v>0.21943499999999894</v>
      </c>
      <c r="G25" s="160">
        <f t="shared" si="1"/>
        <v>98.615552050473198</v>
      </c>
      <c r="L25" s="162"/>
      <c r="M25" s="162"/>
      <c r="N25" s="162"/>
    </row>
    <row r="26" spans="4:15" ht="15" thickBot="1" x14ac:dyDescent="0.4"/>
    <row r="27" spans="4:15" ht="16" thickBot="1" x14ac:dyDescent="0.4">
      <c r="D27" s="181" t="s">
        <v>98</v>
      </c>
      <c r="E27" s="182"/>
      <c r="F27" s="182"/>
      <c r="G27" s="183"/>
    </row>
  </sheetData>
  <mergeCells count="3">
    <mergeCell ref="D2:G2"/>
    <mergeCell ref="I4:K4"/>
    <mergeCell ref="D27:G2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Model Comparison</vt:lpstr>
      <vt:lpstr>Evaluation Comparison</vt:lpstr>
      <vt:lpstr>Feature Importance</vt:lpstr>
      <vt:lpstr>Prediction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2026-07-05T15:21:11Z</dcterms:created>
  <dcterms:modified xsi:type="dcterms:W3CDTF">2026-07-05T18:32:55Z</dcterms:modified>
</cp:coreProperties>
</file>